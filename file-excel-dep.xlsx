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<sst xmlns="http://schemas.openxmlformats.org/spreadsheetml/2006/main" count="107" uniqueCount="55">
  <si>
    <t>Date</t>
  </si>
  <si>
    <t>Sheet Name</t>
  </si>
  <si>
    <t>Version</t>
  </si>
  <si>
    <t>Description</t>
  </si>
  <si>
    <t>Designer/Reviser</t>
  </si>
  <si>
    <t>Reviewed By</t>
  </si>
  <si>
    <t>Approved By</t>
  </si>
  <si>
    <t>Approved Date</t>
  </si>
  <si>
    <t>DD-MM-YY</t>
  </si>
  <si>
    <t>Use Case 1</t>
  </si>
  <si>
    <t>Design test cases</t>
  </si>
  <si>
    <t>Overal of Test result</t>
  </si>
  <si>
    <t>Build Number</t>
  </si>
  <si>
    <t>Passed</t>
  </si>
  <si>
    <t>Failed</t>
  </si>
  <si>
    <t>Blocked</t>
  </si>
  <si>
    <t>Not Run</t>
  </si>
  <si>
    <t>Not Completed</t>
  </si>
  <si>
    <t>Not Planned</t>
  </si>
  <si>
    <t>Environment X</t>
  </si>
  <si>
    <t>Environment Y</t>
  </si>
  <si>
    <t>ID</t>
  </si>
  <si>
    <t>Name</t>
  </si>
  <si>
    <t>Test case description</t>
  </si>
  <si>
    <t>Precondition</t>
  </si>
  <si>
    <t>Step name</t>
  </si>
  <si>
    <t>Step description</t>
  </si>
  <si>
    <t>Expected Result</t>
  </si>
  <si>
    <t>Defect ID</t>
  </si>
  <si>
    <t>Tester</t>
  </si>
  <si>
    <t>Note</t>
  </si>
  <si>
    <t xml:space="preserve">Step </t>
  </si>
  <si>
    <t>Case</t>
  </si>
  <si>
    <t>[Use Case 2/Module2]</t>
  </si>
  <si>
    <t>TC-002-001</t>
  </si>
  <si>
    <t>XYZ1</t>
  </si>
  <si>
    <t>Description 4</t>
  </si>
  <si>
    <t>Pre 1</t>
  </si>
  <si>
    <t>Step 1</t>
  </si>
  <si>
    <t>Defect 4</t>
  </si>
  <si>
    <t>Step 2</t>
  </si>
  <si>
    <t>Step 3</t>
  </si>
  <si>
    <t>Step 4</t>
  </si>
  <si>
    <t>Defect 7</t>
  </si>
  <si>
    <t>Step 5</t>
  </si>
  <si>
    <t>Step 6</t>
  </si>
  <si>
    <t>TC-002-002</t>
  </si>
  <si>
    <t>XYZ2</t>
  </si>
  <si>
    <t>Description 5</t>
  </si>
  <si>
    <t>Pre 2</t>
  </si>
  <si>
    <t>Defect 6</t>
  </si>
  <si>
    <t>TC-002-003</t>
  </si>
  <si>
    <t>XYZ3</t>
  </si>
  <si>
    <t>Description 6</t>
  </si>
  <si>
    <t>Pre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</si>
</sst>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"/>
    <numFmt numFmtId="165" formatCode="0.0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i/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3" fillId="3" fontId="3" numFmtId="0" xfId="0" applyAlignment="1" applyBorder="1" applyFill="1" applyFont="1">
      <alignment shrinkToFit="0" vertical="top" wrapText="1"/>
    </xf>
    <xf borderId="4" fillId="3" fontId="3" numFmtId="0" xfId="0" applyAlignment="1" applyBorder="1" applyFont="1">
      <alignment shrinkToFit="0" vertical="top" wrapText="1"/>
    </xf>
    <xf borderId="4" fillId="0" fontId="2" numFmtId="164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shrinkToFit="0" vertical="bottom" wrapText="1"/>
    </xf>
    <xf borderId="4" fillId="0" fontId="2" numFmtId="165" xfId="0" applyAlignment="1" applyBorder="1" applyFont="1" applyNumberFormat="1">
      <alignment shrinkToFit="0" vertical="bottom" wrapText="1"/>
    </xf>
    <xf borderId="4" fillId="0" fontId="2" numFmtId="165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164" xfId="0" applyAlignment="1" applyBorder="1" applyFont="1" applyNumberFormat="1">
      <alignment vertical="bottom"/>
    </xf>
    <xf borderId="6" fillId="0" fontId="2" numFmtId="0" xfId="0" applyAlignment="1" applyBorder="1" applyFont="1">
      <alignment vertical="bottom"/>
    </xf>
    <xf borderId="6" fillId="0" fontId="2" numFmtId="165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4" fillId="0" fontId="4" numFmtId="0" xfId="0" applyAlignment="1" applyBorder="1" applyFont="1">
      <alignment vertical="top"/>
    </xf>
    <xf borderId="4" fillId="0" fontId="2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right" vertical="top"/>
    </xf>
    <xf borderId="4" fillId="0" fontId="2" numFmtId="0" xfId="0" applyAlignment="1" applyBorder="1" applyFont="1">
      <alignment vertical="top"/>
    </xf>
    <xf borderId="8" fillId="3" fontId="3" numFmtId="0" xfId="0" applyAlignment="1" applyBorder="1" applyFont="1">
      <alignment shrinkToFit="0" vertical="top" wrapText="1"/>
    </xf>
    <xf borderId="9" fillId="3" fontId="3" numFmtId="0" xfId="0" applyAlignment="1" applyBorder="1" applyFont="1">
      <alignment horizontal="center" shrinkToFit="0" vertical="top" wrapText="1"/>
    </xf>
    <xf borderId="10" fillId="0" fontId="5" numFmtId="0" xfId="0" applyBorder="1" applyFont="1"/>
    <xf borderId="11" fillId="0" fontId="5" numFmtId="0" xfId="0" applyBorder="1" applyFont="1"/>
    <xf borderId="9" fillId="4" fontId="3" numFmtId="0" xfId="0" applyAlignment="1" applyBorder="1" applyFill="1" applyFont="1">
      <alignment shrinkToFit="0" vertical="top" wrapText="1"/>
    </xf>
    <xf borderId="12" fillId="0" fontId="5" numFmtId="0" xfId="0" applyBorder="1" applyFont="1"/>
    <xf borderId="8" fillId="0" fontId="2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vertical="top"/>
    </xf>
    <xf borderId="4" fillId="0" fontId="2" numFmtId="0" xfId="0" applyAlignment="1" applyBorder="1" applyFont="1">
      <alignment shrinkToFit="0" vertical="top" wrapText="1"/>
    </xf>
    <xf borderId="13" fillId="0" fontId="5" numFmtId="0" xfId="0" applyBorder="1" applyFont="1"/>
    <xf borderId="11" fillId="0" fontId="2" numFmtId="0" xfId="0" applyAlignment="1" applyBorder="1" applyFont="1">
      <alignment vertical="top"/>
    </xf>
    <xf borderId="4" fillId="5" fontId="2" numFmtId="0" xfId="0" applyAlignment="1" applyBorder="1" applyFill="1" applyFont="1">
      <alignment vertical="top"/>
    </xf>
    <xf borderId="7" fillId="5" fontId="2" numFmtId="0" xfId="0" applyAlignment="1" applyBorder="1" applyFont="1">
      <alignment vertical="top"/>
    </xf>
    <xf borderId="8" fillId="0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8</v>
      </c>
      <c r="B3" s="7" t="s">
        <v>9</v>
      </c>
      <c r="C3" s="8">
        <v>0.1</v>
      </c>
      <c r="D3" s="9" t="s">
        <v>10</v>
      </c>
      <c r="E3" s="10"/>
      <c r="F3" s="10"/>
      <c r="G3" s="7"/>
      <c r="H3" s="7"/>
      <c r="I3" s="11"/>
      <c r="J3" s="1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/>
      <c r="B4" s="7"/>
      <c r="C4" s="7"/>
      <c r="D4" s="10"/>
      <c r="E4" s="10"/>
      <c r="F4" s="10"/>
      <c r="G4" s="7"/>
      <c r="H4" s="7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2"/>
      <c r="B5" s="13"/>
      <c r="C5" s="13"/>
      <c r="D5" s="13"/>
      <c r="E5" s="14"/>
      <c r="F5" s="14"/>
      <c r="G5" s="14"/>
      <c r="H5" s="14"/>
      <c r="I5" s="15"/>
      <c r="J5" s="15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 t="s">
        <v>11</v>
      </c>
      <c r="B6" s="17"/>
      <c r="C6" s="17"/>
      <c r="D6" s="17"/>
      <c r="E6" s="17"/>
      <c r="F6" s="17"/>
      <c r="G6" s="1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5" t="s">
        <v>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8" t="s">
        <v>19</v>
      </c>
      <c r="B8" s="19">
        <f>COUNTIF(K:K,"Passed")</f>
        <v>0</v>
      </c>
      <c r="C8" s="20">
        <f>COUNTIF(K:K,"Failed")</f>
        <v>1</v>
      </c>
      <c r="D8" s="19">
        <f>COUNTIF(K:K,"Blocked")</f>
        <v>1</v>
      </c>
      <c r="E8" s="20">
        <f>COUNTIF(K:K,"Not Run")</f>
        <v>0</v>
      </c>
      <c r="F8" s="19">
        <f>COUNTIF(K:K,"Not Completed")</f>
        <v>0</v>
      </c>
      <c r="G8" s="19">
        <f>COUNTIF(K:K,"Not Planned")</f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8" t="s">
        <v>20</v>
      </c>
      <c r="B9" s="19">
        <f>COUNTIF(M:M,"Passed")</f>
        <v>3</v>
      </c>
      <c r="C9" s="20">
        <f>COUNTIF(M:M,"Failed")</f>
        <v>0</v>
      </c>
      <c r="D9" s="19">
        <f>COUNTIF(M:M,"Blocked")</f>
        <v>0</v>
      </c>
      <c r="E9" s="20">
        <f>COUNTIF(M:M,"Not Run")</f>
        <v>0</v>
      </c>
      <c r="F9" s="19">
        <f>COUNTIF(M:M,"Not Completed")</f>
        <v>0</v>
      </c>
      <c r="G9" s="19">
        <f>COUNTIF(M:M,"Not Planned")</f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1"/>
      <c r="B10" s="21"/>
      <c r="C10" s="21"/>
      <c r="D10" s="21"/>
      <c r="E10" s="21"/>
      <c r="F10" s="21"/>
      <c r="G10" s="2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1"/>
      <c r="B11" s="21"/>
      <c r="C11" s="21"/>
      <c r="D11" s="21"/>
      <c r="E11" s="21"/>
      <c r="F11" s="21"/>
      <c r="G11" s="2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21"/>
      <c r="B12" s="21"/>
      <c r="C12" s="21"/>
      <c r="D12" s="21"/>
      <c r="E12" s="21"/>
      <c r="F12" s="21"/>
      <c r="G12" s="21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1"/>
      <c r="B13" s="21"/>
      <c r="C13" s="21"/>
      <c r="D13" s="21"/>
      <c r="E13" s="21"/>
      <c r="F13" s="21"/>
      <c r="G13" s="2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1"/>
      <c r="B14" s="21"/>
      <c r="C14" s="21"/>
      <c r="D14" s="21"/>
      <c r="E14" s="21"/>
      <c r="F14" s="21"/>
      <c r="G14" s="21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2" t="s">
        <v>21</v>
      </c>
      <c r="B17" s="22" t="s">
        <v>22</v>
      </c>
      <c r="C17" s="22" t="s">
        <v>23</v>
      </c>
      <c r="D17" s="22" t="s">
        <v>24</v>
      </c>
      <c r="E17" s="22" t="s">
        <v>25</v>
      </c>
      <c r="F17" s="22" t="s">
        <v>26</v>
      </c>
      <c r="G17" s="22" t="s">
        <v>27</v>
      </c>
      <c r="H17" s="22" t="s">
        <v>28</v>
      </c>
      <c r="I17" s="22" t="s">
        <v>29</v>
      </c>
      <c r="J17" s="23" t="s">
        <v>19</v>
      </c>
      <c r="K17" s="24"/>
      <c r="L17" s="23" t="s">
        <v>20</v>
      </c>
      <c r="M17" s="24"/>
      <c r="N17" s="22" t="s">
        <v>30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5" t="s">
        <v>31</v>
      </c>
      <c r="K18" s="5" t="s">
        <v>32</v>
      </c>
      <c r="L18" s="5" t="s">
        <v>31</v>
      </c>
      <c r="M18" s="5" t="s">
        <v>32</v>
      </c>
      <c r="N18" s="2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26" t="s">
        <v>33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4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8" t="s">
        <v>34</v>
      </c>
      <c r="B20" s="28" t="s">
        <v>35</v>
      </c>
      <c r="C20" s="28" t="s">
        <v>36</v>
      </c>
      <c r="D20" s="28" t="s">
        <v>37</v>
      </c>
      <c r="E20" s="29" t="s">
        <v>38</v>
      </c>
      <c r="F20" s="21"/>
      <c r="G20" s="30"/>
      <c r="H20" s="31" t="s">
        <v>39</v>
      </c>
      <c r="I20" s="31" t="str">
        <f t="shared" ref="I20:I37" si="1">IF($A20="",$I19,VLOOKUP($A20,TestCaseSummary,Tester,FALSE))</f>
        <v>#NAME?</v>
      </c>
      <c r="J20" s="31" t="s">
        <v>18</v>
      </c>
      <c r="K20" s="28" t="str">
        <f>IF(COUNTIF(J20:J25,$G$7)&gt;0,$G$7,IF(COUNTIF(J20:J25,$C$7)&gt;0,$C$7,IF(COUNTIF(J20:J25,$D$7)&gt;0,$D$7,IF(COUNTIF(J20:J25,$B$7)&gt;0,IF(COUNTIF(J20:J25,$E$7)&lt;1,$B$7,$F$7),$E$7))))</f>
        <v>Not Planned</v>
      </c>
      <c r="L20" s="31" t="s">
        <v>13</v>
      </c>
      <c r="M20" s="28" t="str">
        <f>IF(COUNTIF(L20:L25,$G$7)&gt;0,$G$7,IF(COUNTIF(L20:L25,$C$7)&gt;0,$C$7,IF(COUNTIF(L20:L25,$D$7)&gt;0,$D$7,IF(COUNTIF(L20:L25,$B$7)&gt;0,IF(COUNTIF(L20:L25,$E$7)&lt;1,$B$7,$F$7),$E$7))))</f>
        <v>Passed</v>
      </c>
      <c r="N20" s="2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2"/>
      <c r="B21" s="32"/>
      <c r="C21" s="32"/>
      <c r="D21" s="32"/>
      <c r="E21" s="29" t="s">
        <v>40</v>
      </c>
      <c r="F21" s="33"/>
      <c r="G21" s="21"/>
      <c r="H21" s="21"/>
      <c r="I21" s="31" t="str">
        <f t="shared" si="1"/>
        <v>#NAME?</v>
      </c>
      <c r="J21" s="31" t="s">
        <v>16</v>
      </c>
      <c r="K21" s="32"/>
      <c r="L21" s="31" t="s">
        <v>13</v>
      </c>
      <c r="M21" s="32"/>
      <c r="N21" s="34"/>
      <c r="O21" s="35"/>
      <c r="P21" s="3"/>
      <c r="Q21" s="3"/>
      <c r="R21" s="3"/>
      <c r="S21" s="3"/>
      <c r="T21" s="3"/>
      <c r="U21" s="3"/>
      <c r="V21" s="3"/>
      <c r="W21" s="3"/>
      <c r="X21" s="3"/>
      <c r="Y21" s="3"/>
      <c r="Z21" s="35"/>
    </row>
    <row r="22">
      <c r="A22" s="32"/>
      <c r="B22" s="32"/>
      <c r="C22" s="32"/>
      <c r="D22" s="32"/>
      <c r="E22" s="29" t="s">
        <v>41</v>
      </c>
      <c r="F22" s="21"/>
      <c r="G22" s="21"/>
      <c r="H22" s="21"/>
      <c r="I22" s="31" t="str">
        <f t="shared" si="1"/>
        <v>#NAME?</v>
      </c>
      <c r="J22" s="31" t="s">
        <v>16</v>
      </c>
      <c r="K22" s="32"/>
      <c r="L22" s="31" t="s">
        <v>13</v>
      </c>
      <c r="M22" s="32"/>
      <c r="N22" s="34"/>
      <c r="O22" s="35"/>
      <c r="P22" s="3"/>
      <c r="Q22" s="3"/>
      <c r="R22" s="3"/>
      <c r="S22" s="3"/>
      <c r="T22" s="3"/>
      <c r="U22" s="3"/>
      <c r="V22" s="3"/>
      <c r="W22" s="3"/>
      <c r="X22" s="3"/>
      <c r="Y22" s="3"/>
      <c r="Z22" s="35"/>
    </row>
    <row r="23">
      <c r="A23" s="32"/>
      <c r="B23" s="32"/>
      <c r="C23" s="32"/>
      <c r="D23" s="32"/>
      <c r="E23" s="29" t="s">
        <v>42</v>
      </c>
      <c r="F23" s="21"/>
      <c r="G23" s="21"/>
      <c r="H23" s="31" t="s">
        <v>43</v>
      </c>
      <c r="I23" s="31" t="str">
        <f t="shared" si="1"/>
        <v>#NAME?</v>
      </c>
      <c r="J23" s="31" t="s">
        <v>16</v>
      </c>
      <c r="K23" s="32"/>
      <c r="L23" s="31" t="s">
        <v>13</v>
      </c>
      <c r="M23" s="32"/>
      <c r="N23" s="34"/>
      <c r="O23" s="35"/>
      <c r="P23" s="3"/>
      <c r="Q23" s="3"/>
      <c r="R23" s="3"/>
      <c r="S23" s="3"/>
      <c r="T23" s="3"/>
      <c r="U23" s="3"/>
      <c r="V23" s="3"/>
      <c r="W23" s="3"/>
      <c r="X23" s="3"/>
      <c r="Y23" s="3"/>
      <c r="Z23" s="35"/>
    </row>
    <row r="24">
      <c r="A24" s="32"/>
      <c r="B24" s="32"/>
      <c r="C24" s="32"/>
      <c r="D24" s="32"/>
      <c r="E24" s="29" t="s">
        <v>44</v>
      </c>
      <c r="F24" s="36"/>
      <c r="G24" s="21"/>
      <c r="H24" s="21"/>
      <c r="I24" s="31" t="str">
        <f t="shared" si="1"/>
        <v>#NAME?</v>
      </c>
      <c r="J24" s="31" t="s">
        <v>16</v>
      </c>
      <c r="K24" s="32"/>
      <c r="L24" s="31" t="s">
        <v>13</v>
      </c>
      <c r="M24" s="32"/>
      <c r="N24" s="2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2"/>
      <c r="B25" s="32"/>
      <c r="C25" s="25"/>
      <c r="D25" s="32"/>
      <c r="E25" s="29" t="s">
        <v>45</v>
      </c>
      <c r="F25" s="21"/>
      <c r="G25" s="30"/>
      <c r="H25" s="21"/>
      <c r="I25" s="31" t="str">
        <f t="shared" si="1"/>
        <v>#NAME?</v>
      </c>
      <c r="J25" s="31" t="s">
        <v>16</v>
      </c>
      <c r="K25" s="25"/>
      <c r="L25" s="31" t="s">
        <v>13</v>
      </c>
      <c r="M25" s="25"/>
      <c r="N25" s="34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28" t="s">
        <v>46</v>
      </c>
      <c r="B26" s="28" t="s">
        <v>47</v>
      </c>
      <c r="C26" s="28" t="s">
        <v>48</v>
      </c>
      <c r="D26" s="28" t="s">
        <v>49</v>
      </c>
      <c r="E26" s="29" t="s">
        <v>38</v>
      </c>
      <c r="F26" s="21"/>
      <c r="G26" s="30"/>
      <c r="H26" s="21"/>
      <c r="I26" s="31" t="str">
        <f t="shared" si="1"/>
        <v>#NAME?</v>
      </c>
      <c r="J26" s="31" t="s">
        <v>13</v>
      </c>
      <c r="K26" s="28" t="str">
        <f>IF(COUNTIF(J26:J31,$G$7)&gt;0,$G$7,IF(COUNTIF(J26:J31,$C$7)&gt;0,$C$7,IF(COUNTIF(J26:J31,$D$7)&gt;0,$D$7,IF(COUNTIF(J26:J31,$B$7)&gt;0,IF(COUNTIF(J26:J31,$E$7)&lt;1,$B$7,$F$7),$E$7))))</f>
        <v>Blocked</v>
      </c>
      <c r="L26" s="31" t="s">
        <v>13</v>
      </c>
      <c r="M26" s="28" t="str">
        <f>IF(COUNTIF(L26:L31,$G$7)&gt;0,$G$7,IF(COUNTIF(L26:L31,$C$7)&gt;0,$C$7,IF(COUNTIF(L26:L31,$D$7)&gt;0,$D$7,IF(COUNTIF(L26:L31,$B$7)&gt;0,IF(COUNTIF(L26:L31,$E$7)&lt;1,$B$7,$F$7),$E$7))))</f>
        <v>Passed</v>
      </c>
      <c r="N26" s="2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2"/>
      <c r="B27" s="32"/>
      <c r="C27" s="32"/>
      <c r="D27" s="32"/>
      <c r="E27" s="29" t="s">
        <v>40</v>
      </c>
      <c r="F27" s="33"/>
      <c r="G27" s="21"/>
      <c r="H27" s="21"/>
      <c r="I27" s="31" t="str">
        <f t="shared" si="1"/>
        <v>#NAME?</v>
      </c>
      <c r="J27" s="31" t="s">
        <v>13</v>
      </c>
      <c r="K27" s="32"/>
      <c r="L27" s="31" t="s">
        <v>13</v>
      </c>
      <c r="M27" s="32"/>
      <c r="N27" s="34"/>
      <c r="O27" s="35"/>
      <c r="P27" s="3"/>
      <c r="Q27" s="3"/>
      <c r="R27" s="3"/>
      <c r="S27" s="3"/>
      <c r="T27" s="3"/>
      <c r="U27" s="3"/>
      <c r="V27" s="3"/>
      <c r="W27" s="3"/>
      <c r="X27" s="3"/>
      <c r="Y27" s="3"/>
      <c r="Z27" s="35"/>
    </row>
    <row r="28">
      <c r="A28" s="32"/>
      <c r="B28" s="32"/>
      <c r="C28" s="32"/>
      <c r="D28" s="32"/>
      <c r="E28" s="29" t="s">
        <v>41</v>
      </c>
      <c r="F28" s="21"/>
      <c r="G28" s="21"/>
      <c r="H28" s="21"/>
      <c r="I28" s="31" t="str">
        <f t="shared" si="1"/>
        <v>#NAME?</v>
      </c>
      <c r="J28" s="31" t="s">
        <v>15</v>
      </c>
      <c r="K28" s="32"/>
      <c r="L28" s="31" t="s">
        <v>13</v>
      </c>
      <c r="M28" s="32"/>
      <c r="N28" s="34"/>
      <c r="O28" s="35"/>
      <c r="P28" s="3"/>
      <c r="Q28" s="3"/>
      <c r="R28" s="3"/>
      <c r="S28" s="3"/>
      <c r="T28" s="3"/>
      <c r="U28" s="3"/>
      <c r="V28" s="3"/>
      <c r="W28" s="3"/>
      <c r="X28" s="3"/>
      <c r="Y28" s="3"/>
      <c r="Z28" s="35"/>
    </row>
    <row r="29">
      <c r="A29" s="32"/>
      <c r="B29" s="32"/>
      <c r="C29" s="32"/>
      <c r="D29" s="32"/>
      <c r="E29" s="29" t="s">
        <v>42</v>
      </c>
      <c r="F29" s="21"/>
      <c r="G29" s="21"/>
      <c r="H29" s="21"/>
      <c r="I29" s="31" t="str">
        <f t="shared" si="1"/>
        <v>#NAME?</v>
      </c>
      <c r="J29" s="31" t="s">
        <v>13</v>
      </c>
      <c r="K29" s="32"/>
      <c r="L29" s="31" t="s">
        <v>13</v>
      </c>
      <c r="M29" s="32"/>
      <c r="N29" s="34"/>
      <c r="O29" s="35"/>
      <c r="P29" s="3"/>
      <c r="Q29" s="3"/>
      <c r="R29" s="3"/>
      <c r="S29" s="3"/>
      <c r="T29" s="3"/>
      <c r="U29" s="3"/>
      <c r="V29" s="3"/>
      <c r="W29" s="3"/>
      <c r="X29" s="3"/>
      <c r="Y29" s="3"/>
      <c r="Z29" s="35"/>
    </row>
    <row r="30">
      <c r="A30" s="32"/>
      <c r="B30" s="32"/>
      <c r="C30" s="32"/>
      <c r="D30" s="32"/>
      <c r="E30" s="29" t="s">
        <v>44</v>
      </c>
      <c r="F30" s="36"/>
      <c r="G30" s="21"/>
      <c r="H30" s="21"/>
      <c r="I30" s="31" t="str">
        <f t="shared" si="1"/>
        <v>#NAME?</v>
      </c>
      <c r="J30" s="31" t="s">
        <v>13</v>
      </c>
      <c r="K30" s="32"/>
      <c r="L30" s="31" t="s">
        <v>13</v>
      </c>
      <c r="M30" s="32"/>
      <c r="N30" s="2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2"/>
      <c r="B31" s="32"/>
      <c r="C31" s="25"/>
      <c r="D31" s="32"/>
      <c r="E31" s="29" t="s">
        <v>45</v>
      </c>
      <c r="F31" s="21"/>
      <c r="G31" s="30"/>
      <c r="H31" s="31" t="s">
        <v>50</v>
      </c>
      <c r="I31" s="31" t="str">
        <f t="shared" si="1"/>
        <v>#NAME?</v>
      </c>
      <c r="J31" s="31" t="s">
        <v>13</v>
      </c>
      <c r="K31" s="25"/>
      <c r="L31" s="31" t="s">
        <v>13</v>
      </c>
      <c r="M31" s="25"/>
      <c r="N31" s="34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8" t="s">
        <v>51</v>
      </c>
      <c r="B32" s="28" t="s">
        <v>52</v>
      </c>
      <c r="C32" s="28" t="s">
        <v>53</v>
      </c>
      <c r="D32" s="28" t="s">
        <v>54</v>
      </c>
      <c r="E32" s="29" t="s">
        <v>38</v>
      </c>
      <c r="F32" s="21"/>
      <c r="G32" s="30"/>
      <c r="H32" s="21"/>
      <c r="I32" s="31" t="str">
        <f t="shared" si="1"/>
        <v>#NAME?</v>
      </c>
      <c r="J32" s="31" t="s">
        <v>14</v>
      </c>
      <c r="K32" s="28" t="str">
        <f>IF(COUNTIF(J32:J37,$G$7)&gt;0,$G$7,IF(COUNTIF(J32:J37,$C$7)&gt;0,$C$7,IF(COUNTIF(J32:J37,$D$7)&gt;0,$D$7,IF(COUNTIF(J32:J37,$B$7)&gt;0,IF(COUNTIF(J32:J37,$E$7)&lt;1,$B$7,$F$7),$E$7))))</f>
        <v>Failed</v>
      </c>
      <c r="L32" s="31" t="s">
        <v>13</v>
      </c>
      <c r="M32" s="28" t="str">
        <f>IF(COUNTIF(L32:L37,$G$7)&gt;0,$G$7,IF(COUNTIF(L32:L37,$C$7)&gt;0,$C$7,IF(COUNTIF(L32:L37,$D$7)&gt;0,$D$7,IF(COUNTIF(L32:L37,$B$7)&gt;0,IF(COUNTIF(L32:L37,$E$7)&lt;1,$B$7,$F$7),$E$7))))</f>
        <v>Passed</v>
      </c>
      <c r="N32" s="2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2"/>
      <c r="B33" s="32"/>
      <c r="C33" s="32"/>
      <c r="D33" s="32"/>
      <c r="E33" s="29" t="s">
        <v>40</v>
      </c>
      <c r="F33" s="33"/>
      <c r="G33" s="21"/>
      <c r="H33" s="21"/>
      <c r="I33" s="31" t="str">
        <f t="shared" si="1"/>
        <v>#NAME?</v>
      </c>
      <c r="J33" s="31" t="s">
        <v>16</v>
      </c>
      <c r="K33" s="32"/>
      <c r="L33" s="31" t="s">
        <v>13</v>
      </c>
      <c r="M33" s="32"/>
      <c r="N33" s="34"/>
      <c r="O33" s="35"/>
      <c r="P33" s="3"/>
      <c r="Q33" s="3"/>
      <c r="R33" s="3"/>
      <c r="S33" s="3"/>
      <c r="T33" s="3"/>
      <c r="U33" s="3"/>
      <c r="V33" s="3"/>
      <c r="W33" s="3"/>
      <c r="X33" s="3"/>
      <c r="Y33" s="3"/>
      <c r="Z33" s="35"/>
    </row>
    <row r="34">
      <c r="A34" s="32"/>
      <c r="B34" s="32"/>
      <c r="C34" s="32"/>
      <c r="D34" s="32"/>
      <c r="E34" s="29" t="s">
        <v>41</v>
      </c>
      <c r="F34" s="21"/>
      <c r="G34" s="21"/>
      <c r="H34" s="21"/>
      <c r="I34" s="31" t="str">
        <f t="shared" si="1"/>
        <v>#NAME?</v>
      </c>
      <c r="J34" s="31" t="s">
        <v>13</v>
      </c>
      <c r="K34" s="32"/>
      <c r="L34" s="31" t="s">
        <v>13</v>
      </c>
      <c r="M34" s="32"/>
      <c r="N34" s="34"/>
      <c r="O34" s="35"/>
      <c r="P34" s="3"/>
      <c r="Q34" s="3"/>
      <c r="R34" s="3"/>
      <c r="S34" s="3"/>
      <c r="T34" s="3"/>
      <c r="U34" s="3"/>
      <c r="V34" s="3"/>
      <c r="W34" s="3"/>
      <c r="X34" s="3"/>
      <c r="Y34" s="3"/>
      <c r="Z34" s="35"/>
    </row>
    <row r="35">
      <c r="A35" s="32"/>
      <c r="B35" s="32"/>
      <c r="C35" s="32"/>
      <c r="D35" s="32"/>
      <c r="E35" s="29" t="s">
        <v>42</v>
      </c>
      <c r="F35" s="21"/>
      <c r="G35" s="21"/>
      <c r="H35" s="21"/>
      <c r="I35" s="31" t="str">
        <f t="shared" si="1"/>
        <v>#NAME?</v>
      </c>
      <c r="J35" s="31" t="s">
        <v>13</v>
      </c>
      <c r="K35" s="32"/>
      <c r="L35" s="31" t="s">
        <v>13</v>
      </c>
      <c r="M35" s="32"/>
      <c r="N35" s="34"/>
      <c r="O35" s="35"/>
      <c r="P35" s="3"/>
      <c r="Q35" s="3"/>
      <c r="R35" s="3"/>
      <c r="S35" s="3"/>
      <c r="T35" s="3"/>
      <c r="U35" s="3"/>
      <c r="V35" s="3"/>
      <c r="W35" s="3"/>
      <c r="X35" s="3"/>
      <c r="Y35" s="3"/>
      <c r="Z35" s="35"/>
    </row>
    <row r="36">
      <c r="A36" s="32"/>
      <c r="B36" s="32"/>
      <c r="C36" s="32"/>
      <c r="D36" s="32"/>
      <c r="E36" s="29" t="s">
        <v>44</v>
      </c>
      <c r="F36" s="36"/>
      <c r="G36" s="21"/>
      <c r="H36" s="21"/>
      <c r="I36" s="31" t="str">
        <f t="shared" si="1"/>
        <v>#NAME?</v>
      </c>
      <c r="J36" s="31" t="s">
        <v>13</v>
      </c>
      <c r="K36" s="32"/>
      <c r="L36" s="31" t="s">
        <v>13</v>
      </c>
      <c r="M36" s="32"/>
      <c r="N36" s="2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25"/>
      <c r="B37" s="25"/>
      <c r="C37" s="25"/>
      <c r="D37" s="25"/>
      <c r="E37" s="29" t="s">
        <v>45</v>
      </c>
      <c r="F37" s="21"/>
      <c r="G37" s="30"/>
      <c r="H37" s="21"/>
      <c r="I37" s="31" t="str">
        <f t="shared" si="1"/>
        <v>#NAME?</v>
      </c>
      <c r="J37" s="31" t="s">
        <v>13</v>
      </c>
      <c r="K37" s="25"/>
      <c r="L37" s="31" t="s">
        <v>13</v>
      </c>
      <c r="M37" s="25"/>
      <c r="N37" s="34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1">
    <mergeCell ref="H17:H18"/>
    <mergeCell ref="I17:I18"/>
    <mergeCell ref="J17:K17"/>
    <mergeCell ref="L17:M17"/>
    <mergeCell ref="N17:N18"/>
    <mergeCell ref="K20:K25"/>
    <mergeCell ref="M20:M25"/>
    <mergeCell ref="B17:B18"/>
    <mergeCell ref="C17:C18"/>
    <mergeCell ref="D17:D18"/>
    <mergeCell ref="E17:E18"/>
    <mergeCell ref="F17:F18"/>
    <mergeCell ref="G17:G18"/>
    <mergeCell ref="A19:N19"/>
    <mergeCell ref="C26:C31"/>
    <mergeCell ref="D26:D31"/>
    <mergeCell ref="K26:K31"/>
    <mergeCell ref="M26:M31"/>
    <mergeCell ref="A32:A37"/>
    <mergeCell ref="B32:B37"/>
    <mergeCell ref="C32:C37"/>
    <mergeCell ref="D32:D37"/>
    <mergeCell ref="K32:K37"/>
    <mergeCell ref="M32:M37"/>
    <mergeCell ref="A17:A18"/>
    <mergeCell ref="A20:A25"/>
    <mergeCell ref="B20:B25"/>
    <mergeCell ref="C20:C25"/>
    <mergeCell ref="D20:D25"/>
    <mergeCell ref="A26:A31"/>
    <mergeCell ref="B26:B31"/>
  </mergeCells>
  <dataValidations>
    <dataValidation type="list" allowBlank="1" showInputMessage="1" showErrorMessage="1" prompt=" - " sqref="H38:M1000">
      <formula1>#REF!</formula1>
    </dataValidation>
    <dataValidation type="list" allowBlank="1" showInputMessage="1" showErrorMessage="1" prompt=" - " sqref="J20:J37 L20:L37">
      <formula1>"Passed,Failed,Blocked,Not Run,Not Planned"</formula1>
    </dataValidation>
  </dataValidations>
  <drawing r:id="rId1"/>
</worksheet>
</file>